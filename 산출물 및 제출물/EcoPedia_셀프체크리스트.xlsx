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ecopedia\산출물 및 제출물\"/>
    </mc:Choice>
  </mc:AlternateContent>
  <xr:revisionPtr revIDLastSave="0" documentId="13_ncr:1_{BF4417C9-1527-4A9E-9626-86B7CCAAAEFC}" xr6:coauthVersionLast="47" xr6:coauthVersionMax="47" xr10:uidLastSave="{00000000-0000-0000-0000-000000000000}"/>
  <bookViews>
    <workbookView xWindow="3510" yWindow="2355" windowWidth="24945" windowHeight="13125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<sst xmlns="http://schemas.openxmlformats.org/spreadsheetml/2006/main" count="212" uniqueCount="157">
  <si>
    <r>
      <rPr>
        <b/>
        <sz val="14"/>
        <rFont val="맑은 고딕"/>
        <family val="3"/>
      </rPr>
      <t xml:space="preserve">[SSAFY] AI </t>
    </r>
    <r>
      <rPr>
        <b/>
        <sz val="14"/>
        <rFont val="Noto Sans CJK SC"/>
        <family val="2"/>
      </rPr>
      <t xml:space="preserve">코어 프로젝트 </t>
    </r>
    <r>
      <rPr>
        <b/>
        <sz val="14"/>
        <rFont val="맑은 고딕"/>
        <family val="3"/>
      </rPr>
      <t>2</t>
    </r>
    <r>
      <rPr>
        <b/>
        <sz val="14"/>
        <rFont val="Noto Sans CJK SC"/>
        <family val="2"/>
      </rPr>
      <t xml:space="preserve">회차 — 셀프 </t>
    </r>
    <r>
      <rPr>
        <b/>
        <sz val="14"/>
        <rFont val="맑은 고딕"/>
        <family val="3"/>
      </rPr>
      <t xml:space="preserve">· </t>
    </r>
    <r>
      <rPr>
        <b/>
        <sz val="14"/>
        <rFont val="Noto Sans CJK SC"/>
        <family val="2"/>
      </rPr>
      <t>상호 체크리스트</t>
    </r>
  </si>
  <si>
    <t>점검 유형</t>
  </si>
  <si>
    <t>셀프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</si>
  <si>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통과</t>
    </r>
    <r>
      <rPr>
        <sz val="10"/>
        <rFont val="맑은 고딕"/>
        <family val="3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>증명이 필요한 항목은 증빙 첨부</t>
    </r>
    <r>
      <rPr>
        <sz val="10"/>
        <rFont val="맑은 고딕"/>
        <family val="3"/>
      </rPr>
      <t xml:space="preserve">)
· </t>
    </r>
    <r>
      <rPr>
        <sz val="10"/>
        <rFont val="Noto Sans CJK SC"/>
        <family val="2"/>
      </rPr>
      <t>실패</t>
    </r>
    <r>
      <rPr>
        <sz val="10"/>
        <rFont val="맑은 고딕"/>
        <family val="3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미확인</t>
    </r>
    <r>
      <rPr>
        <sz val="10"/>
        <rFont val="맑은 고딕"/>
        <family val="3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해당없음</t>
    </r>
    <r>
      <rPr>
        <sz val="10"/>
        <rFont val="맑은 고딕"/>
        <family val="3"/>
      </rPr>
      <t xml:space="preserve">: </t>
    </r>
    <r>
      <rPr>
        <sz val="10"/>
        <rFont val="Noto Sans CJK SC"/>
        <family val="2"/>
      </rPr>
      <t>선택하지 않은 심화 항목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해당하지 않는 도메인 항목
※ 확인하지 않은 것을 통과로 적지 않습니다</t>
    </r>
    <r>
      <rPr>
        <sz val="10"/>
        <rFont val="맑은 고딕"/>
        <family val="3"/>
      </rPr>
      <t>.</t>
    </r>
  </si>
  <si>
    <t>앱 작성자</t>
  </si>
  <si>
    <t>송원준</t>
  </si>
  <si>
    <t>점검자</t>
  </si>
  <si>
    <t>점검 일시</t>
  </si>
  <si>
    <r>
      <rPr>
        <sz val="9"/>
        <color rgb="FF595959"/>
        <rFont val="Noto Sans CJK SC"/>
        <family val="2"/>
      </rPr>
      <t>연한 노란 칸만 입력합니다</t>
    </r>
    <r>
      <rPr>
        <sz val="9"/>
        <color rgb="FF595959"/>
        <rFont val="맑은 고딕"/>
        <family val="3"/>
      </rPr>
      <t xml:space="preserve">.  </t>
    </r>
    <r>
      <rPr>
        <sz val="9"/>
        <color rgb="FF595959"/>
        <rFont val="Noto Sans CJK SC"/>
        <family val="2"/>
      </rPr>
      <t>결과</t>
    </r>
    <r>
      <rPr>
        <sz val="9"/>
        <color rgb="FF595959"/>
        <rFont val="맑은 고딕"/>
        <family val="3"/>
      </rPr>
      <t>(G</t>
    </r>
    <r>
      <rPr>
        <sz val="9"/>
        <color rgb="FF595959"/>
        <rFont val="Noto Sans CJK SC"/>
        <family val="2"/>
      </rPr>
      <t>열</t>
    </r>
    <r>
      <rPr>
        <sz val="9"/>
        <color rgb="FF595959"/>
        <rFont val="맑은 고딕"/>
        <family val="3"/>
      </rPr>
      <t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3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3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3"/>
      </rPr>
      <t xml:space="preserve">· </t>
    </r>
    <r>
      <rPr>
        <sz val="9"/>
        <color rgb="FF595959"/>
        <rFont val="Noto Sans CJK SC"/>
        <family val="2"/>
      </rPr>
      <t>해당없음</t>
    </r>
  </si>
  <si>
    <t>영역</t>
  </si>
  <si>
    <t>번호</t>
  </si>
  <si>
    <t>요구사항</t>
  </si>
  <si>
    <t>확인 항목</t>
  </si>
  <si>
    <t>확인 방법</t>
  </si>
  <si>
    <t>결과</t>
  </si>
  <si>
    <r>
      <rPr>
        <b/>
        <sz val="11"/>
        <rFont val="Noto Sans CJK SC"/>
        <family val="2"/>
      </rPr>
      <t xml:space="preserve">증빙 </t>
    </r>
    <r>
      <rPr>
        <b/>
        <sz val="11"/>
        <rFont val="맑은 고딕"/>
        <family val="3"/>
      </rPr>
      <t>(</t>
    </r>
    <r>
      <rPr>
        <b/>
        <sz val="11"/>
        <rFont val="Noto Sans CJK SC"/>
        <family val="2"/>
      </rPr>
      <t xml:space="preserve">캡처 </t>
    </r>
    <r>
      <rPr>
        <b/>
        <sz val="11"/>
        <rFont val="맑은 고딕"/>
        <family val="3"/>
      </rPr>
      <t xml:space="preserve">· </t>
    </r>
    <r>
      <rPr>
        <b/>
        <sz val="11"/>
        <rFont val="Noto Sans CJK SC"/>
        <family val="2"/>
      </rPr>
      <t>파일명</t>
    </r>
    <r>
      <rPr>
        <b/>
        <sz val="11"/>
        <rFont val="맑은 고딕"/>
        <family val="3"/>
      </rPr>
      <t>)</t>
    </r>
  </si>
  <si>
    <r>
      <rPr>
        <b/>
        <sz val="11"/>
        <rFont val="Noto Sans CJK SC"/>
        <family val="2"/>
      </rPr>
      <t xml:space="preserve">비고 </t>
    </r>
    <r>
      <rPr>
        <b/>
        <sz val="11"/>
        <rFont val="맑은 고딕"/>
        <family val="3"/>
      </rPr>
      <t>(</t>
    </r>
    <r>
      <rPr>
        <b/>
        <sz val="11"/>
        <rFont val="Noto Sans CJK SC"/>
        <family val="2"/>
      </rPr>
      <t xml:space="preserve">실패 </t>
    </r>
    <r>
      <rPr>
        <b/>
        <sz val="11"/>
        <rFont val="맑은 고딕"/>
        <family val="3"/>
      </rPr>
      <t xml:space="preserve">· </t>
    </r>
    <r>
      <rPr>
        <b/>
        <sz val="11"/>
        <rFont val="Noto Sans CJK SC"/>
        <family val="2"/>
      </rPr>
      <t>미확인 사유</t>
    </r>
    <r>
      <rPr>
        <b/>
        <sz val="11"/>
        <rFont val="맑은 고딕"/>
        <family val="3"/>
      </rPr>
      <t>)</t>
    </r>
  </si>
  <si>
    <t>데이터와 색인</t>
  </si>
  <si>
    <t>F2001</t>
  </si>
  <si>
    <r>
      <rPr>
        <sz val="10"/>
        <rFont val="Noto Sans CJK SC"/>
        <family val="2"/>
      </rPr>
      <t>로드한 항목 수와 색인된 청크 수가 일치하고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</rPr>
      <t>1</t>
    </r>
    <r>
      <rPr>
        <sz val="10"/>
        <rFont val="Noto Sans CJK SC"/>
        <family val="2"/>
      </rPr>
      <t>건의 색인 텍스트에 의도한 속성이 모두 들어 있다</t>
    </r>
  </si>
  <si>
    <r>
      <rPr>
        <sz val="10"/>
        <rFont val="Noto Sans CJK SC"/>
        <family val="2"/>
      </rPr>
      <t>로드 건수와 컬렉션 건수를 출력해 비교하고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</rPr>
      <t>1</t>
    </r>
    <r>
      <rPr>
        <sz val="10"/>
        <rFont val="Noto Sans CJK SC"/>
        <family val="2"/>
      </rPr>
      <t>건의 색인 텍스트 확인</t>
    </r>
  </si>
  <si>
    <t>통과</t>
  </si>
  <si>
    <t>증빙/01_자동테스트.txt; 증빙/02_실행요약.json</t>
  </si>
  <si>
    <t>F2002</t>
  </si>
  <si>
    <t>색인 작업을 두 번 실행해도 청크 수가 늘지 않는다</t>
  </si>
  <si>
    <t>스크립트를 두 번 실행하고 전후 청크 수 비교</t>
  </si>
  <si>
    <t>증빙/01_자동테스트.txt</t>
  </si>
  <si>
    <t>문서 수집과 색인</t>
  </si>
  <si>
    <t>F2003 · F2004</t>
  </si>
  <si>
    <r>
      <rPr>
        <sz val="10"/>
        <rFont val="Noto Sans CJK SC"/>
        <family val="2"/>
      </rPr>
      <t>검색어 추출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</rPr>
      <t>1)</t>
    </r>
    <r>
      <rPr>
        <sz val="10"/>
        <rFont val="Noto Sans CJK SC"/>
        <family val="2"/>
      </rPr>
      <t>이 뽑은 검색어 목록이 확인되고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후보 선별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</rPr>
      <t>2)</t>
    </r>
    <r>
      <rPr>
        <sz val="10"/>
        <rFont val="Noto Sans CJK SC"/>
        <family val="2"/>
      </rPr>
      <t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</si>
  <si>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</rPr>
      <t>1</t>
    </r>
    <r>
      <rPr>
        <sz val="10"/>
        <rFont val="Noto Sans CJK SC"/>
        <family val="2"/>
      </rPr>
      <t>개를 실행하고 검색어 목록과 선별 결과를 나란히 출력</t>
    </r>
  </si>
  <si>
    <t>증빙/09_검색어_후보선별_검증.md
증빙/09_검색어_후보선별_검증.json</t>
  </si>
  <si>
    <t>F2004 · NF2002</t>
  </si>
  <si>
    <t>같은 질문을 다시 물었을 때 수집이 다시 일어나지 않는다</t>
  </si>
  <si>
    <t>같은 질문을 두 번 실행해 수집 로그와 처리 시간 비교</t>
  </si>
  <si>
    <t>증빙/01_자동테스트.txt; 증빙/03_생태검증요약.json</t>
  </si>
  <si>
    <t>F2005</t>
  </si>
  <si>
    <t>청크 크기 또는 중복 길이를 설정에서 바꿔 색인하면 청크 수가 달라진다</t>
  </si>
  <si>
    <t>설정값을 바꿔 재색인하고 청크 수 비교</t>
  </si>
  <si>
    <t>EcoPedia_RAG_파이프라인_설계문서.md 5.3</t>
  </si>
  <si>
    <t>답변과 근거</t>
  </si>
  <si>
    <t>F2006</t>
  </si>
  <si>
    <r>
      <rPr>
        <sz val="10"/>
        <rFont val="Noto Sans CJK SC"/>
        <family val="2"/>
      </rPr>
      <t>검색할 근거 수</t>
    </r>
    <r>
      <rPr>
        <sz val="10"/>
        <rFont val="맑은 고딕"/>
        <family val="3"/>
      </rPr>
      <t>(Top-k)</t>
    </r>
    <r>
      <rPr>
        <sz val="10"/>
        <rFont val="Noto Sans CJK SC"/>
        <family val="2"/>
      </rPr>
      <t>를 설정에서 바꾸면 같은 질문의 근거 목록이 달라진다</t>
    </r>
  </si>
  <si>
    <r>
      <rPr>
        <sz val="10"/>
        <rFont val="맑은 고딕"/>
        <family val="3"/>
      </rPr>
      <t xml:space="preserve">Top-k </t>
    </r>
    <r>
      <rPr>
        <sz val="10"/>
        <rFont val="Noto Sans CJK SC"/>
        <family val="2"/>
      </rPr>
      <t>값을 바꿔 같은 질문을 실행하고 근거 목록 비교</t>
    </r>
  </si>
  <si>
    <t>증빙/10_Top-k_근거비교.md
증빙/10_Top-k_근거비교.json</t>
  </si>
  <si>
    <t>F2007</t>
  </si>
  <si>
    <r>
      <rPr>
        <sz val="10"/>
        <rFont val="맑은 고딕"/>
        <family val="3"/>
      </rPr>
      <t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</rPr>
      <t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</rPr>
      <t xml:space="preserve">generate </t>
    </r>
    <r>
      <rPr>
        <sz val="10"/>
        <rFont val="Noto Sans CJK SC"/>
        <family val="2"/>
      </rPr>
      <t>두 노드로 구성되어 있다</t>
    </r>
  </si>
  <si>
    <t>그래프 구조 출력 또는 코드 캡처</t>
  </si>
  <si>
    <t>증빙/04_LangGraph.txt; 증빙/01_자동테스트.txt</t>
  </si>
  <si>
    <t>F2008</t>
  </si>
  <si>
    <r>
      <rPr>
        <sz val="10"/>
        <rFont val="Noto Sans CJK SC"/>
        <family val="2"/>
      </rPr>
      <t>답변 본문의 근거 번호와 화면의 근거 목록이 일치하고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항목 메타데이터와 외부 문서가 구분되어 표시된다</t>
    </r>
  </si>
  <si>
    <t>답변을 생성해 번호와 목록을 대조</t>
  </si>
  <si>
    <t>증빙/02_실행요약.json; 증빙/05_근거원문.png</t>
  </si>
  <si>
    <t>F2007 · F2008</t>
  </si>
  <si>
    <r>
      <rPr>
        <sz val="10"/>
        <rFont val="Noto Sans CJK SC"/>
        <family val="2"/>
      </rPr>
      <t>문서에 없는 것을 물으면 추측하지 않고 확인되지 않는다고 답하며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인용된 근거가 없으면 그 사실이 화면에 안내된다</t>
    </r>
  </si>
  <si>
    <t>색인에 없는 내용을 질문해 답변과 안내 확인</t>
  </si>
  <si>
    <t>증빙/02_실행요약.json; 증빙/01_자동테스트.txt</t>
  </si>
  <si>
    <t>서비스 기능과 화면</t>
  </si>
  <si>
    <t>F2009</t>
  </si>
  <si>
    <t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</si>
  <si>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</rPr>
      <t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</rPr>
      <t>B</t>
    </r>
    <r>
      <rPr>
        <sz val="10"/>
        <rFont val="Noto Sans CJK SC"/>
        <family val="2"/>
      </rPr>
      <t>로 바꿔 질문</t>
    </r>
  </si>
  <si>
    <t>F2011</t>
  </si>
  <si>
    <t>조건 기반 탐색 결과에 조건과 맞지 않는 항목이 섞이지 않는다</t>
  </si>
  <si>
    <t>조건을 입력해 결과 항목을 하나씩 대조</t>
  </si>
  <si>
    <t>증빙/02_실행요약.json; 증빙/03_생태검증요약.json</t>
  </si>
  <si>
    <t>F2010</t>
  </si>
  <si>
    <t>도메인 특화 기능의 결과에도 근거가 함께 제시된다</t>
  </si>
  <si>
    <t>특화 기능을 실행해 근거 표시 확인</t>
  </si>
  <si>
    <t>증빙/03_생태검증요약.json</t>
  </si>
  <si>
    <t>F2012</t>
  </si>
  <si>
    <r>
      <rPr>
        <sz val="10"/>
        <rFont val="Noto Sans CJK SC"/>
        <family val="2"/>
      </rPr>
      <t>처리 중 진행 상태가 표시되고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</rPr>
      <t xml:space="preserve">API </t>
    </r>
    <r>
      <rPr>
        <sz val="10"/>
        <rFont val="Noto Sans CJK SC"/>
        <family val="2"/>
      </rPr>
      <t>키가 없을 때 각각 안내가 표시된다</t>
    </r>
  </si>
  <si>
    <r>
      <rPr>
        <sz val="10"/>
        <rFont val="Noto Sans CJK SC"/>
        <family val="2"/>
      </rPr>
      <t>첫 질문 실행 중 화면 확인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색인 삭제 후 실행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키를 비우고 실행</t>
    </r>
  </si>
  <si>
    <t>증빙/06_처리상태.png; 증빙/01_자동테스트.txt</t>
  </si>
  <si>
    <r>
      <rPr>
        <sz val="10"/>
        <rFont val="맑은 고딕"/>
        <family val="3"/>
      </rPr>
      <t>(</t>
    </r>
    <r>
      <rPr>
        <sz val="10"/>
        <rFont val="Noto Sans CJK SC"/>
        <family val="2"/>
      </rPr>
      <t>해당 도메인만</t>
    </r>
    <r>
      <rPr>
        <sz val="10"/>
        <rFont val="맑은 고딕"/>
        <family val="3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금융처럼 판단이 위험한 도메인이면 전문가 조언을 대신하지 않는다는 안내가 표시된다</t>
    </r>
  </si>
  <si>
    <t>답변 화면에서 면책 안내 확인</t>
  </si>
  <si>
    <t>해당없음</t>
  </si>
  <si>
    <r>
      <rPr>
        <b/>
        <sz val="11"/>
        <rFont val="Noto Sans CJK SC"/>
        <family val="2"/>
      </rPr>
      <t xml:space="preserve">심화 기능 </t>
    </r>
    <r>
      <rPr>
        <b/>
        <sz val="11"/>
        <rFont val="맑은 고딕"/>
        <family val="3"/>
      </rPr>
      <t>(</t>
    </r>
    <r>
      <rPr>
        <b/>
        <sz val="11"/>
        <rFont val="Noto Sans CJK SC"/>
        <family val="2"/>
      </rPr>
      <t>선택한 것만</t>
    </r>
    <r>
      <rPr>
        <b/>
        <sz val="11"/>
        <rFont val="맑은 고딕"/>
        <family val="3"/>
      </rPr>
      <t>)</t>
    </r>
  </si>
  <si>
    <t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</si>
  <si>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</rPr>
      <t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</si>
  <si>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근거 표시 확인</t>
    </r>
  </si>
  <si>
    <t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</si>
  <si>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</rPr>
      <t xml:space="preserve">MMR </t>
    </r>
    <r>
      <rPr>
        <sz val="10"/>
        <rFont val="Noto Sans CJK SC"/>
        <family val="2"/>
      </rPr>
      <t>검색을 각각 적용했을 때 근거 목록이 어떻게 달라지는지 확인된다</t>
    </r>
  </si>
  <si>
    <t>두 검색 방식의 근거 목록을 나란히 비교</t>
  </si>
  <si>
    <t>미확인</t>
  </si>
  <si>
    <t>ecopedia/store.py; 증빙/01_자동테스트.txt</t>
  </si>
  <si>
    <t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</si>
  <si>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</rPr>
      <t>5</t>
    </r>
    <r>
      <rPr>
        <sz val="10"/>
        <rFont val="Noto Sans CJK SC"/>
        <family val="2"/>
      </rPr>
      <t>개 이상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>근거 없이 답하면 틀리기 쉬운 질문</t>
    </r>
    <r>
      <rPr>
        <sz val="10"/>
        <rFont val="맑은 고딕"/>
        <family val="3"/>
      </rPr>
      <t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</rPr>
      <t xml:space="preserve">/ </t>
    </r>
    <r>
      <rPr>
        <sz val="10"/>
        <rFont val="Noto Sans CJK SC"/>
        <family val="2"/>
      </rPr>
      <t>근거를 붙여 각각 답하게 해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모르는 것을 모른다고 답하는지를 비교해 기록했다</t>
    </r>
  </si>
  <si>
    <t>비교 기록 확인</t>
  </si>
  <si>
    <t>비교 결과를 문서로 작성해 제출물에 포함했다</t>
  </si>
  <si>
    <t>제출물 폴더 확인</t>
  </si>
  <si>
    <t>F2016</t>
  </si>
  <si>
    <t>근거 목록에 출처의 종류가 구분되어 표시된다</t>
  </si>
  <si>
    <t>근거 목록 화면 확인</t>
  </si>
  <si>
    <t>ecopedia/ingestion.py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</si>
  <si>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</si>
  <si>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</si>
  <si>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</si>
  <si>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</si>
  <si>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</si>
  <si>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</rPr>
      <t xml:space="preserve">API </t>
    </r>
    <r>
      <rPr>
        <sz val="10"/>
        <rFont val="Noto Sans CJK SC"/>
        <family val="2"/>
      </rPr>
      <t>키가 남아 있지 않고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오류 추적 정보가 노출되지 않는다</t>
    </r>
  </si>
  <si>
    <r>
      <rPr>
        <sz val="10"/>
        <rFont val="Noto Sans CJK SC"/>
        <family val="2"/>
      </rPr>
      <t>저장소 전체에서 키 문자열 검색</t>
    </r>
    <r>
      <rPr>
        <sz val="10"/>
        <rFont val="맑은 고딕"/>
        <family val="3"/>
      </rPr>
      <t xml:space="preserve">(.env </t>
    </r>
    <r>
      <rPr>
        <sz val="10"/>
        <rFont val="Noto Sans CJK SC"/>
        <family val="2"/>
      </rPr>
      <t>제외 여부 확인</t>
    </r>
    <r>
      <rPr>
        <sz val="10"/>
        <rFont val="맑은 고딕"/>
        <family val="3"/>
      </rPr>
      <t xml:space="preserve">), </t>
    </r>
    <r>
      <rPr>
        <sz val="10"/>
        <rFont val="Noto Sans CJK SC"/>
        <family val="2"/>
      </rPr>
      <t>오류 상황을 일부러 만들어 화면 확인</t>
    </r>
  </si>
  <si>
    <t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</si>
  <si>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</rPr>
      <t>· UI</t>
    </r>
    <r>
      <rPr>
        <sz val="10"/>
        <rFont val="Noto Sans CJK SC"/>
        <family val="2"/>
      </rPr>
      <t>가 모듈로 분리되어 있다</t>
    </r>
  </si>
  <si>
    <t>파일 구성 확인</t>
  </si>
  <si>
    <t>증빙/07_모듈구성.txt</t>
  </si>
  <si>
    <t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</si>
  <si>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호출 간격과 출처가 요구하는 식별 정보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</rPr>
      <t xml:space="preserve">User-Agent </t>
    </r>
    <r>
      <rPr>
        <sz val="10"/>
        <rFont val="Noto Sans CJK SC"/>
        <family val="2"/>
      </rPr>
      <t>연락처</t>
    </r>
    <r>
      <rPr>
        <sz val="10"/>
        <rFont val="맑은 고딕"/>
        <family val="3"/>
      </rPr>
      <t>)</t>
    </r>
    <r>
      <rPr>
        <sz val="10"/>
        <rFont val="Noto Sans CJK SC"/>
        <family val="2"/>
      </rPr>
      <t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</si>
  <si>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헤더 확인</t>
    </r>
  </si>
  <si>
    <t>증빙/08_API설정확인.json; ecopedia/sources.py</t>
  </si>
  <si>
    <t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</si>
  <si>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이용 조건을 기록했다</t>
    </r>
  </si>
  <si>
    <r>
      <rPr>
        <sz val="10"/>
        <rFont val="맑은 고딕"/>
        <family val="3"/>
      </rPr>
      <t xml:space="preserve">README </t>
    </r>
    <r>
      <rPr>
        <sz val="10"/>
        <rFont val="Noto Sans CJK SC"/>
        <family val="2"/>
      </rPr>
      <t>확인</t>
    </r>
  </si>
  <si>
    <t>README.md; EcoPedia_요구사항정의서.md 2.2</t>
  </si>
  <si>
    <t>제출 전 점검</t>
  </si>
  <si>
    <t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</si>
  <si>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</rPr>
      <t>F2001 ~ F2012</t>
    </r>
    <r>
      <rPr>
        <sz val="10"/>
        <rFont val="Noto Sans CJK SC"/>
        <family val="2"/>
      </rPr>
      <t>가 모두 동작하고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선택한 심화 기능은 필수 기능의 결과와 비교되어 있다</t>
    </r>
  </si>
  <si>
    <r>
      <rPr>
        <sz val="10"/>
        <rFont val="Noto Sans CJK SC"/>
        <family val="2"/>
      </rPr>
      <t>위 항목의 결과 종합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비교 기록 확인</t>
    </r>
  </si>
  <si>
    <t>증명을 위한 스크린샷 항목을 모두 첨부했다</t>
  </si>
  <si>
    <t>증빙 칸과 첨부 파일 대조</t>
  </si>
  <si>
    <t>증빙/05_근거원문.png; 증빙/06_처리상태.png, 두 종 생태 비교 실행 결과.png, 메인페이지 및 메인기능 실행사진.png, 자연어 조건 실행 결과.png, 종별 질문 실행 결과 - 1.png, 종별 질문 실행 결과 - 2.png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</si>
  <si>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</rPr>
      <t xml:space="preserve">· README.md · </t>
    </r>
    <r>
      <rPr>
        <sz val="10"/>
        <rFont val="Noto Sans CJK SC"/>
        <family val="2"/>
      </rPr>
      <t>검증 결과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>요구사항 대조표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>테스트 결과표</t>
    </r>
    <r>
      <rPr>
        <sz val="10"/>
        <rFont val="맑은 고딕"/>
        <family val="3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상호 체크리스트</t>
    </r>
    <r>
      <rPr>
        <sz val="10"/>
        <rFont val="맑은 고딕"/>
        <family val="3"/>
      </rPr>
      <t>)</t>
    </r>
    <r>
      <rPr>
        <sz val="10"/>
        <rFont val="Noto Sans CJK SC"/>
        <family val="2"/>
      </rPr>
      <t>를 모두 포함했다</t>
    </r>
  </si>
  <si>
    <t>EcoPedia_요구사항정의서.md; EcoPedia_RAG_파이프라인_설계문서.md</t>
  </si>
  <si>
    <t>집계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</si>
  <si>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</rPr>
      <t xml:space="preserve">· </t>
    </r>
    <r>
      <rPr>
        <sz val="10"/>
        <rFont val="Noto Sans CJK SC"/>
        <family val="2"/>
      </rPr>
      <t>「미기입」이 남아 있으면 비고에 사유가 적혀 있는지 확인합니다</t>
    </r>
    <r>
      <rPr>
        <sz val="10"/>
        <rFont val="맑은 고딕"/>
        <family val="3"/>
      </rPr>
      <t>.</t>
    </r>
  </si>
  <si>
    <t>실패</t>
  </si>
  <si>
    <t>미기입</t>
  </si>
  <si>
    <t>전체 항목</t>
  </si>
  <si>
    <r>
      <rPr>
        <b/>
        <sz val="11"/>
        <rFont val="Noto Sans CJK SC"/>
        <family val="2"/>
      </rPr>
      <t xml:space="preserve">상호 점검 피드백 — 상호 점검 때만 작성 </t>
    </r>
    <r>
      <rPr>
        <b/>
        <sz val="11"/>
        <rFont val="맑은 고딕"/>
        <family val="3"/>
      </rPr>
      <t>(</t>
    </r>
    <r>
      <rPr>
        <b/>
        <sz val="11"/>
        <rFont val="Noto Sans CJK SC"/>
        <family val="2"/>
      </rPr>
      <t>짧게 한두 문장</t>
    </r>
    <r>
      <rPr>
        <b/>
        <sz val="11"/>
        <rFont val="맑은 고딕"/>
        <family val="3"/>
      </rPr>
      <t>)</t>
    </r>
  </si>
  <si>
    <t>잘한 것 하나</t>
  </si>
  <si>
    <t>개선할 것 하나</t>
  </si>
  <si>
    <r>
      <rPr>
        <b/>
        <sz val="14"/>
        <color rgb="FF000000"/>
        <rFont val="Noto Sans CJK SC"/>
        <family val="2"/>
      </rPr>
      <t xml:space="preserve">셀프 </t>
    </r>
    <r>
      <rPr>
        <b/>
        <sz val="14"/>
        <color rgb="FF000000"/>
        <rFont val="맑은 고딕"/>
        <family val="3"/>
      </rPr>
      <t xml:space="preserve">· </t>
    </r>
    <r>
      <rPr>
        <b/>
        <sz val="14"/>
        <color rgb="FF000000"/>
        <rFont val="Noto Sans CJK SC"/>
        <family val="2"/>
      </rPr>
      <t>상호 체크리스트 작성 안내</t>
    </r>
  </si>
  <si>
    <t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</si>
  <si>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3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</rPr>
      <t xml:space="preserve">15:30 ~ 16:30 · </t>
    </r>
    <r>
      <rPr>
        <sz val="10"/>
        <color rgb="FF000000"/>
        <rFont val="Noto Sans CJK SC"/>
        <family val="2"/>
      </rPr>
      <t>내 앱을 직접 실행하며 항목을 하나씩 확인합니다</t>
    </r>
    <r>
      <rPr>
        <sz val="10"/>
        <color rgb="FF000000"/>
        <rFont val="맑은 고딕"/>
        <family val="3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3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</rPr>
      <t xml:space="preserve">16:30 ~ 17:30 · </t>
    </r>
    <r>
      <rPr>
        <sz val="10"/>
        <color rgb="FF000000"/>
        <rFont val="Noto Sans CJK SC"/>
        <family val="2"/>
      </rPr>
      <t>셀프 때와 같은 양식으로 옆 교육생의 앱을 점검하고</t>
    </r>
    <r>
      <rPr>
        <sz val="10"/>
        <color rgb="FF000000"/>
        <rFont val="맑은 고딕"/>
        <family val="3"/>
      </rPr>
      <t xml:space="preserve">, </t>
    </r>
    <r>
      <rPr>
        <sz val="10"/>
        <color rgb="FF000000"/>
        <rFont val="Noto Sans CJK SC"/>
        <family val="2"/>
      </rPr>
      <t>점검자 칸에 이름을 적어 주고받습니다</t>
    </r>
    <r>
      <rPr>
        <sz val="10"/>
        <color rgb="FF000000"/>
        <rFont val="맑은 고딕"/>
        <family val="3"/>
      </rPr>
      <t>.</t>
    </r>
  </si>
  <si>
    <t>무엇을 적나</t>
  </si>
  <si>
    <r>
      <rPr>
        <sz val="10"/>
        <color rgb="FF000000"/>
        <rFont val="Noto Sans CJK SC"/>
        <family val="2"/>
      </rPr>
      <t>점검 유형</t>
    </r>
    <r>
      <rPr>
        <sz val="10"/>
        <color rgb="FF000000"/>
        <rFont val="맑은 고딕"/>
        <family val="3"/>
      </rPr>
      <t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>상호</t>
    </r>
    <r>
      <rPr>
        <sz val="10"/>
        <color rgb="FF000000"/>
        <rFont val="맑은 고딕"/>
        <family val="3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>점검 일시</t>
    </r>
    <r>
      <rPr>
        <sz val="10"/>
        <color rgb="FF000000"/>
        <rFont val="맑은 고딕"/>
        <family val="3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>비고를 적습니다</t>
    </r>
    <r>
      <rPr>
        <sz val="10"/>
        <color rgb="FF000000"/>
        <rFont val="맑은 고딕"/>
        <family val="3"/>
      </rPr>
      <t xml:space="preserve">.
</t>
    </r>
    <r>
      <rPr>
        <sz val="10"/>
        <color rgb="FF000000"/>
        <rFont val="Noto Sans CJK SC"/>
        <family val="2"/>
      </rPr>
      <t>연한 노란 칸만 입력합니다</t>
    </r>
    <r>
      <rPr>
        <sz val="10"/>
        <color rgb="FF000000"/>
        <rFont val="맑은 고딕"/>
        <family val="3"/>
      </rPr>
      <t xml:space="preserve">. </t>
    </r>
    <r>
      <rPr>
        <sz val="10"/>
        <color rgb="FF000000"/>
        <rFont val="Noto Sans CJK SC"/>
        <family val="2"/>
      </rPr>
      <t>확인 항목과 확인 방법은 고치지 않습니다</t>
    </r>
    <r>
      <rPr>
        <sz val="10"/>
        <color rgb="FF000000"/>
        <rFont val="맑은 고딕"/>
        <family val="3"/>
      </rPr>
      <t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</si>
  <si>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3"/>
      </rPr>
      <t>(</t>
    </r>
    <r>
      <rPr>
        <sz val="10"/>
        <color rgb="FF000000"/>
        <rFont val="Noto Sans CJK SC"/>
        <family val="2"/>
      </rPr>
      <t>증명이 필요한 항목은 증빙 첨부</t>
    </r>
    <r>
      <rPr>
        <sz val="10"/>
        <color rgb="FF000000"/>
        <rFont val="맑은 고딕"/>
        <family val="3"/>
      </rPr>
      <t xml:space="preserve">)
</t>
    </r>
    <r>
      <rPr>
        <sz val="10"/>
        <color rgb="FF000000"/>
        <rFont val="Noto Sans CJK SC"/>
        <family val="2"/>
      </rPr>
      <t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3"/>
      </rPr>
      <t xml:space="preserve">, </t>
    </r>
    <r>
      <rPr>
        <sz val="10"/>
        <color rgb="FF000000"/>
        <rFont val="Noto Sans CJK SC"/>
        <family val="2"/>
      </rPr>
      <t>해당하지 않는 도메인 항목</t>
    </r>
  </si>
  <si>
    <t>증빙</t>
  </si>
  <si>
    <r>
      <rPr>
        <sz val="10"/>
        <color rgb="FF000000"/>
        <rFont val="Noto Sans CJK SC"/>
        <family val="2"/>
      </rPr>
      <t>화면 캡처의 파일명을 적고 제출물에 함께 넣습니다</t>
    </r>
    <r>
      <rPr>
        <sz val="10"/>
        <color rgb="FF000000"/>
        <rFont val="맑은 고딕"/>
        <family val="3"/>
      </rPr>
      <t xml:space="preserve">. </t>
    </r>
    <r>
      <rPr>
        <sz val="10"/>
        <color rgb="FF000000"/>
        <rFont val="Noto Sans CJK SC"/>
        <family val="2"/>
      </rPr>
      <t>번호를 앞에 붙이면 찾기 쉽습니다</t>
    </r>
    <r>
      <rPr>
        <sz val="10"/>
        <color rgb="FF000000"/>
        <rFont val="맑은 고딕"/>
        <family val="3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</rPr>
      <t>) 04_</t>
    </r>
    <r>
      <rPr>
        <sz val="10"/>
        <color rgb="FF000000"/>
        <rFont val="Noto Sans CJK SC"/>
        <family val="2"/>
      </rPr>
      <t>재질문</t>
    </r>
    <r>
      <rPr>
        <sz val="10"/>
        <color rgb="FF000000"/>
        <rFont val="맑은 고딕"/>
        <family val="3"/>
      </rPr>
      <t>_</t>
    </r>
    <r>
      <rPr>
        <sz val="10"/>
        <color rgb="FF000000"/>
        <rFont val="Noto Sans CJK SC"/>
        <family val="2"/>
      </rPr>
      <t>수집로그</t>
    </r>
    <r>
      <rPr>
        <sz val="10"/>
        <color rgb="FF000000"/>
        <rFont val="맑은 고딕"/>
        <family val="3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3"/>
      </rPr>
      <t xml:space="preserve">API </t>
    </r>
    <r>
      <rPr>
        <sz val="10"/>
        <color rgb="FF000000"/>
        <rFont val="Noto Sans CJK SC"/>
        <family val="2"/>
      </rPr>
      <t>키와 오류 상세 내용이 보이지 않게 합니다</t>
    </r>
    <r>
      <rPr>
        <sz val="10"/>
        <color rgb="FF000000"/>
        <rFont val="맑은 고딕"/>
        <family val="3"/>
      </rPr>
      <t>.</t>
    </r>
  </si>
  <si>
    <r>
      <rPr>
        <sz val="10"/>
        <color rgb="FF000000"/>
        <rFont val="Noto Sans CJK SC"/>
        <family val="2"/>
      </rPr>
      <t>체크리스트 아래 집계 칸이 결과를 자동으로 셉니다</t>
    </r>
    <r>
      <rPr>
        <sz val="10"/>
        <color rgb="FF000000"/>
        <rFont val="맑은 고딕"/>
        <family val="3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3"/>
      </rPr>
      <t xml:space="preserve">· </t>
    </r>
    <r>
      <rPr>
        <sz val="10"/>
        <color rgb="FF000000"/>
        <rFont val="Noto Sans CJK SC"/>
        <family val="2"/>
      </rPr>
      <t>「미기입」이 남아 있으면 비고에 사유가 적혀 있는지 확인합니다</t>
    </r>
    <r>
      <rPr>
        <sz val="10"/>
        <color rgb="FF000000"/>
        <rFont val="맑은 고딕"/>
        <family val="3"/>
      </rPr>
      <t>.</t>
    </r>
  </si>
  <si>
    <t>상호 피드백</t>
  </si>
  <si>
    <r>
      <rPr>
        <sz val="10"/>
        <color rgb="FF000000"/>
        <rFont val="Noto Sans CJK SC"/>
        <family val="2"/>
      </rPr>
      <t>상호 점검 때는 맨 아래에 잘한 것 하나</t>
    </r>
    <r>
      <rPr>
        <sz val="10"/>
        <color rgb="FF000000"/>
        <rFont val="맑은 고딕"/>
        <family val="3"/>
      </rPr>
      <t xml:space="preserve">, </t>
    </r>
    <r>
      <rPr>
        <sz val="10"/>
        <color rgb="FF000000"/>
        <rFont val="Noto Sans CJK SC"/>
        <family val="2"/>
      </rPr>
      <t>개선할 것 하나를 짧게 적어 돌려줍니다</t>
    </r>
    <r>
      <rPr>
        <sz val="10"/>
        <color rgb="FF000000"/>
        <rFont val="맑은 고딕"/>
        <family val="3"/>
      </rPr>
      <t xml:space="preserve">.
</t>
    </r>
    <r>
      <rPr>
        <sz val="10"/>
        <color rgb="FF000000"/>
        <rFont val="Noto Sans CJK SC"/>
        <family val="2"/>
      </rPr>
      <t>지적받은 결함 중 고칠 수 있는 것만 고치고 최종 제출합니다</t>
    </r>
    <r>
      <rPr>
        <sz val="10"/>
        <color rgb="FF000000"/>
        <rFont val="맑은 고딕"/>
        <family val="3"/>
      </rPr>
      <t xml:space="preserve">. </t>
    </r>
    <r>
      <rPr>
        <sz val="10"/>
        <color rgb="FF000000"/>
        <rFont val="Noto Sans CJK SC"/>
        <family val="2"/>
      </rPr>
      <t>새 기능은 넣지 않습니다</t>
    </r>
    <r>
      <rPr>
        <sz val="10"/>
        <color rgb="FF000000"/>
        <rFont val="맑은 고딕"/>
        <family val="3"/>
      </rPr>
      <t>.</t>
    </r>
  </si>
  <si>
    <t>가장 중요한 규칙</t>
  </si>
  <si>
    <r>
      <rPr>
        <b/>
        <sz val="10"/>
        <color rgb="FFC00000"/>
        <rFont val="Noto Sans CJK SC"/>
        <family val="2"/>
      </rPr>
      <t>확인하지 않은 것을 통과로 적지 않습니다</t>
    </r>
    <r>
      <rPr>
        <b/>
        <sz val="10"/>
        <color rgb="FFC00000"/>
        <rFont val="맑은 고딕"/>
        <family val="3"/>
      </rPr>
      <t>.</t>
    </r>
  </si>
  <si>
    <r>
      <rPr>
        <b/>
        <sz val="10"/>
        <color rgb="FF000000"/>
        <rFont val="Noto Sans CJK SC"/>
        <family val="2"/>
      </rPr>
      <t>작성 예시 — 모양만 보여 주는 예입니다</t>
    </r>
    <r>
      <rPr>
        <b/>
        <sz val="10"/>
        <color rgb="FF000000"/>
        <rFont val="맑은 고딕"/>
        <family val="3"/>
      </rPr>
      <t xml:space="preserve">. </t>
    </r>
    <r>
      <rPr>
        <b/>
        <sz val="10"/>
        <color rgb="FF000000"/>
        <rFont val="Noto Sans CJK SC"/>
        <family val="2"/>
      </rPr>
      <t>실제 체크리스트에는 이 줄을 옮기지 않습니다</t>
    </r>
    <r>
      <rPr>
        <b/>
        <sz val="10"/>
        <color rgb="FF000000"/>
        <rFont val="맑은 고딕"/>
        <family val="3"/>
      </rPr>
      <t>.</t>
    </r>
  </si>
  <si>
    <r>
      <rPr>
        <b/>
        <sz val="10"/>
        <rFont val="Noto Sans CJK SC"/>
        <family val="2"/>
      </rPr>
      <t xml:space="preserve">증빙 </t>
    </r>
    <r>
      <rPr>
        <b/>
        <sz val="10"/>
        <rFont val="맑은 고딕"/>
        <family val="3"/>
      </rPr>
      <t>(</t>
    </r>
    <r>
      <rPr>
        <b/>
        <sz val="10"/>
        <rFont val="Noto Sans CJK SC"/>
        <family val="2"/>
      </rPr>
      <t xml:space="preserve">캡처 </t>
    </r>
    <r>
      <rPr>
        <b/>
        <sz val="10"/>
        <rFont val="맑은 고딕"/>
        <family val="3"/>
      </rPr>
      <t xml:space="preserve">· </t>
    </r>
    <r>
      <rPr>
        <b/>
        <sz val="10"/>
        <rFont val="Noto Sans CJK SC"/>
        <family val="2"/>
      </rPr>
      <t>파일명</t>
    </r>
    <r>
      <rPr>
        <b/>
        <sz val="10"/>
        <rFont val="맑은 고딕"/>
        <family val="3"/>
      </rPr>
      <t>)</t>
    </r>
  </si>
  <si>
    <r>
      <rPr>
        <b/>
        <sz val="10"/>
        <rFont val="Noto Sans CJK SC"/>
        <family val="2"/>
      </rPr>
      <t xml:space="preserve">비고 </t>
    </r>
    <r>
      <rPr>
        <b/>
        <sz val="10"/>
        <rFont val="맑은 고딕"/>
        <family val="3"/>
      </rPr>
      <t>(</t>
    </r>
    <r>
      <rPr>
        <b/>
        <sz val="10"/>
        <rFont val="Noto Sans CJK SC"/>
        <family val="2"/>
      </rPr>
      <t xml:space="preserve">실패 </t>
    </r>
    <r>
      <rPr>
        <b/>
        <sz val="10"/>
        <rFont val="맑은 고딕"/>
        <family val="3"/>
      </rPr>
      <t xml:space="preserve">· </t>
    </r>
    <r>
      <rPr>
        <b/>
        <sz val="10"/>
        <rFont val="Noto Sans CJK SC"/>
        <family val="2"/>
      </rPr>
      <t>미확인 사유</t>
    </r>
    <r>
      <rPr>
        <b/>
        <sz val="10"/>
        <rFont val="맑은 고딕"/>
        <family val="3"/>
      </rPr>
      <t>)</t>
    </r>
  </si>
  <si>
    <r>
      <rPr>
        <sz val="10"/>
        <rFont val="맑은 고딕"/>
        <family val="3"/>
      </rPr>
      <t>04_</t>
    </r>
    <r>
      <rPr>
        <sz val="10"/>
        <rFont val="Noto Sans CJK SC"/>
        <family val="2"/>
      </rPr>
      <t>재질문</t>
    </r>
    <r>
      <rPr>
        <sz val="10"/>
        <rFont val="맑은 고딕"/>
        <family val="3"/>
      </rPr>
      <t>_</t>
    </r>
    <r>
      <rPr>
        <sz val="10"/>
        <rFont val="Noto Sans CJK SC"/>
        <family val="2"/>
      </rPr>
      <t>수집로그</t>
    </r>
    <r>
      <rPr>
        <sz val="10"/>
        <rFont val="맑은 고딕"/>
        <family val="3"/>
      </rPr>
      <t>.png</t>
    </r>
  </si>
  <si>
    <r>
      <rPr>
        <sz val="10"/>
        <rFont val="맑은 고딕"/>
        <family val="3"/>
      </rPr>
      <t>09_</t>
    </r>
    <r>
      <rPr>
        <sz val="10"/>
        <rFont val="Noto Sans CJK SC"/>
        <family val="2"/>
      </rPr>
      <t>없는내용</t>
    </r>
    <r>
      <rPr>
        <sz val="10"/>
        <rFont val="맑은 고딕"/>
        <family val="3"/>
      </rPr>
      <t>_</t>
    </r>
    <r>
      <rPr>
        <sz val="10"/>
        <rFont val="Noto Sans CJK SC"/>
        <family val="2"/>
      </rPr>
      <t>질문</t>
    </r>
    <r>
      <rPr>
        <sz val="10"/>
        <rFont val="맑은 고딕"/>
        <family val="3"/>
      </rPr>
      <t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</si>
  <si>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3"/>
      </rPr>
      <t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3"/>
      </rPr>
      <t>'</t>
    </r>
    <r>
      <rPr>
        <sz val="10"/>
        <rFont val="Noto Sans CJK SC"/>
        <family val="2"/>
      </rPr>
      <t>문서에 없으면 답하지 않는다</t>
    </r>
    <r>
      <rPr>
        <sz val="10"/>
        <rFont val="맑은 고딕"/>
        <family val="3"/>
      </rPr>
      <t xml:space="preserve">' </t>
    </r>
    <r>
      <rPr>
        <sz val="10"/>
        <rFont val="Noto Sans CJK SC"/>
        <family val="2"/>
      </rPr>
      <t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</si>
  <si>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3"/>
      </rPr>
      <t>(</t>
    </r>
    <r>
      <rPr>
        <sz val="10"/>
        <rFont val="Noto Sans CJK SC"/>
        <family val="2"/>
      </rPr>
      <t>선택한 것만</t>
    </r>
    <r>
      <rPr>
        <sz val="10"/>
        <rFont val="맑은 고딕"/>
        <family val="3"/>
      </rPr>
      <t>)</t>
    </r>
  </si>
  <si>
    <r>
      <rPr>
        <sz val="10"/>
        <rFont val="맑은 고딕"/>
        <family val="3"/>
      </rPr>
      <t xml:space="preserve">MMR </t>
    </r>
    <r>
      <rPr>
        <sz val="10"/>
        <rFont val="Noto Sans CJK SC"/>
        <family val="2"/>
      </rPr>
      <t>심화 기능을 선택하지 않음</t>
    </r>
  </si>
  <si>
    <r>
      <rPr>
        <sz val="10"/>
        <rFont val="맑은 고딕"/>
        <family val="3"/>
      </rPr>
      <t xml:space="preserve">GMS </t>
    </r>
    <r>
      <rPr>
        <sz val="10"/>
        <rFont val="Noto Sans CJK SC"/>
        <family val="2"/>
      </rPr>
      <t>응답 지연으로 측정 못 함 → 상호 점검 전에 다시 측정</t>
    </r>
  </si>
  <si>
    <t>증빙/13_비기능_검증.md
증빙/13_응답시간_실측.json</t>
  </si>
  <si>
    <t>증빙/13_비기능_검증.md
증빙/12_비밀정보_파일점검.json
증빙/14_오류정보_비노출_UI검증.json</t>
  </si>
  <si>
    <t>강욱</t>
    <phoneticPr fontId="22" type="noConversion"/>
  </si>
  <si>
    <t>상호점검 피드백: 질문에 대한 답변과 출처를 함께 확인할 수 있고, 종별 질문·조건 탐색·두 종 비교가 구분되어 사용하기 편리했습니다.</t>
    <phoneticPr fontId="22" type="noConversion"/>
  </si>
  <si>
    <t>개선할 점: 서식 환경·국내 분포·주요 위협 요인 자료가 부족한 종의 정보를 보강하면, 더 다양한 생태 질문에 근거 있는 답변을 제공할 수 있을 것입니다.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</si>
</sst>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\-mm\-dd"/>
  </numFmts>
  <fonts count="23">
    <font>
      <sz val="11"/>
      <color theme="1"/>
      <name val="맑은 고딕"/>
      <family val="2"/>
    </font>
    <font>
      <sz val="10"/>
      <name val="Arial"/>
    </font>
    <font>
      <b/>
      <sz val="14"/>
      <name val="맑은 고딕"/>
      <family val="3"/>
    </font>
    <font>
      <b/>
      <sz val="14"/>
      <name val="Noto Sans CJK SC"/>
      <family val="2"/>
    </font>
    <font>
      <b/>
      <sz val="11"/>
      <name val="Noto Sans CJK SC"/>
      <family val="2"/>
    </font>
    <font>
      <sz val="10"/>
      <name val="맑은 고딕"/>
      <family val="3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</font>
    <font>
      <b/>
      <sz val="11"/>
      <name val="맑은 고딕"/>
      <family val="3"/>
    </font>
    <font>
      <b/>
      <sz val="10"/>
      <name val="Noto Sans CJK SC"/>
      <family val="2"/>
    </font>
    <font>
      <b/>
      <sz val="10"/>
      <name val="맑은 고딕"/>
      <family val="3"/>
    </font>
    <font>
      <sz val="10"/>
      <name val="맑은 고딕"/>
      <family val="3"/>
    </font>
    <font>
      <b/>
      <sz val="14"/>
      <color rgb="FF000000"/>
      <name val="Noto Sans CJK SC"/>
      <family val="2"/>
    </font>
    <font>
      <b/>
      <sz val="14"/>
      <color rgb="FF000000"/>
      <name val="맑은 고딕"/>
      <family val="3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</font>
    <font>
      <b/>
      <sz val="10"/>
      <color rgb="FFC00000"/>
      <name val="Noto Sans CJK SC"/>
      <family val="2"/>
    </font>
    <font>
      <b/>
      <sz val="10"/>
      <color rgb="FFC00000"/>
      <name val="맑은 고딕"/>
      <family val="3"/>
    </font>
    <font>
      <b/>
      <sz val="10"/>
      <color rgb="FF000000"/>
      <name val="맑은 고딕"/>
      <family val="3"/>
    </font>
    <font>
      <sz val="11"/>
      <color theme="1"/>
      <name val="맑은 고딕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FF8E1"/>
      </patternFill>
    </fill>
    <fill>
      <patternFill patternType="solid">
        <fgColor rgb="FFDAF2D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1" fillId="0" borderId="0"/>
  </cellStyleXfs>
  <cellXfs count="32">
    <xf numFmtId="0" fontId="0" fillId="0" borderId="0" xfId="0"/>
    <xf numFmtId="0" fontId="4" fillId="3" borderId="2" xfId="6" applyFont="1" applyFill="1" applyBorder="1" applyAlignment="1">
      <alignment horizontal="center" vertical="center" wrapText="1"/>
    </xf>
    <xf numFmtId="0" fontId="6" fillId="0" borderId="2" xfId="6" applyFont="1" applyBorder="1" applyAlignment="1">
      <alignment horizontal="left" vertical="center" wrapText="1"/>
    </xf>
    <xf numFmtId="0" fontId="5" fillId="0" borderId="2" xfId="6" applyFont="1" applyBorder="1" applyAlignment="1">
      <alignment horizontal="center" vertical="center" wrapText="1"/>
    </xf>
    <xf numFmtId="0" fontId="5" fillId="0" borderId="2" xfId="6" applyFont="1" applyBorder="1" applyAlignment="1">
      <alignment horizontal="left" vertical="center" wrapText="1"/>
    </xf>
    <xf numFmtId="0" fontId="6" fillId="0" borderId="2" xfId="6" applyFont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0" fontId="11" fillId="0" borderId="2" xfId="6" applyFont="1" applyBorder="1" applyAlignment="1">
      <alignment horizontal="center" vertical="center" wrapText="1"/>
    </xf>
    <xf numFmtId="0" fontId="15" fillId="3" borderId="2" xfId="6" applyFont="1" applyFill="1" applyBorder="1" applyAlignment="1">
      <alignment horizontal="center" vertical="center" wrapText="1"/>
    </xf>
    <xf numFmtId="0" fontId="10" fillId="3" borderId="2" xfId="6" applyFont="1" applyFill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 wrapText="1"/>
    </xf>
    <xf numFmtId="0" fontId="12" fillId="0" borderId="2" xfId="6" applyFont="1" applyBorder="1" applyAlignment="1">
      <alignment horizontal="left" vertical="center" wrapText="1"/>
    </xf>
    <xf numFmtId="0" fontId="6" fillId="6" borderId="2" xfId="6" applyFont="1" applyFill="1" applyBorder="1" applyAlignment="1">
      <alignment horizontal="center" vertical="center" wrapText="1"/>
    </xf>
    <xf numFmtId="0" fontId="6" fillId="7" borderId="2" xfId="6" applyFont="1" applyFill="1" applyBorder="1" applyAlignment="1">
      <alignment horizontal="center" vertical="center" wrapText="1"/>
    </xf>
    <xf numFmtId="0" fontId="6" fillId="8" borderId="2" xfId="6" applyFont="1" applyFill="1" applyBorder="1" applyAlignment="1">
      <alignment horizontal="center" vertical="center" wrapText="1"/>
    </xf>
    <xf numFmtId="0" fontId="6" fillId="9" borderId="2" xfId="6" applyFont="1" applyFill="1" applyBorder="1" applyAlignment="1">
      <alignment horizontal="center" vertical="center" wrapText="1"/>
    </xf>
    <xf numFmtId="0" fontId="5" fillId="4" borderId="2" xfId="6" applyFont="1" applyFill="1" applyBorder="1" applyAlignment="1">
      <alignment horizontal="center" vertical="center" wrapText="1"/>
    </xf>
    <xf numFmtId="0" fontId="5" fillId="4" borderId="2" xfId="6" applyFont="1" applyFill="1" applyBorder="1" applyAlignment="1">
      <alignment horizontal="left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5" fillId="4" borderId="2" xfId="6" applyFont="1" applyFill="1" applyBorder="1" applyAlignment="1">
      <alignment horizontal="left" vertical="center" wrapText="1"/>
    </xf>
    <xf numFmtId="0" fontId="6" fillId="0" borderId="2" xfId="6" applyFont="1" applyBorder="1" applyAlignment="1">
      <alignment horizontal="left" vertical="center" wrapText="1"/>
    </xf>
    <xf numFmtId="176" fontId="5" fillId="4" borderId="2" xfId="0" applyNumberFormat="1" applyFont="1" applyFill="1" applyBorder="1" applyAlignment="1">
      <alignment horizontal="left" vertical="center" wrapText="1"/>
    </xf>
    <xf numFmtId="0" fontId="7" fillId="0" borderId="0" xfId="6" applyFont="1"/>
    <xf numFmtId="0" fontId="4" fillId="5" borderId="2" xfId="6" applyFont="1" applyFill="1" applyBorder="1" applyAlignment="1">
      <alignment horizontal="center" vertical="center" wrapText="1"/>
    </xf>
    <xf numFmtId="0" fontId="4" fillId="3" borderId="2" xfId="6" applyFont="1" applyFill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0" fontId="4" fillId="3" borderId="2" xfId="6" applyFont="1" applyFill="1" applyBorder="1" applyAlignment="1">
      <alignment horizontal="center" vertical="center"/>
    </xf>
    <xf numFmtId="0" fontId="12" fillId="4" borderId="2" xfId="6" applyFont="1" applyFill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 wrapText="1"/>
    </xf>
    <xf numFmtId="0" fontId="18" fillId="0" borderId="2" xfId="6" applyFont="1" applyBorder="1" applyAlignment="1">
      <alignment horizontal="left" vertical="center" wrapText="1"/>
    </xf>
    <xf numFmtId="0" fontId="15" fillId="0" borderId="0" xfId="6" applyFont="1" applyAlignment="1">
      <alignment horizontal="left" vertical="center" wrapText="1"/>
    </xf>
    <xf numFmtId="0" fontId="13" fillId="0" borderId="0" xfId="6" applyFont="1" applyAlignment="1">
      <alignment horizontal="left" vertical="center" wrapText="1"/>
    </xf>
  </cellXfs>
  <cellStyles count="7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6" xr:uid="{00000000-0005-0000-0000-000004000000}"/>
    <cellStyle name="Percent" xfId="5" xr:uid="{00000000-0005-0000-0000-000005000000}"/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6"/>
  <sheetViews>
    <sheetView showGridLines="0" tabSelected="1" topLeftCell="A34" workbookViewId="0">
      <selection activeCell="C45" sqref="C45:I45"/>
    </sheetView>
  </sheetViews>
  <sheetFormatPr defaultColWidth="8.5" defaultRowHeight="16.5"/>
  <cols>
    <col min="1" max="1" width="3" customWidth="1"/>
    <col min="2" max="2" width="13" customWidth="1"/>
    <col min="3" max="3" width="6" customWidth="1"/>
    <col min="4" max="4" width="14" customWidth="1"/>
    <col min="5" max="5" width="50" customWidth="1"/>
    <col min="6" max="6" width="46" customWidth="1"/>
    <col min="7" max="7" width="11" customWidth="1"/>
    <col min="8" max="8" width="24" customWidth="1"/>
    <col min="9" max="9" width="30" customWidth="1"/>
  </cols>
  <sheetData>
    <row r="2" spans="2:9" ht="39.75" customHeight="1">
      <c r="B2" s="18" t="s">
        <v>0</v>
      </c>
      <c r="C2" s="18"/>
      <c r="D2" s="18"/>
      <c r="E2" s="18"/>
      <c r="F2" s="18"/>
      <c r="G2" s="18"/>
      <c r="H2" s="18"/>
      <c r="I2" s="18"/>
    </row>
    <row r="3" spans="2:9" ht="24" customHeight="1">
      <c r="B3" s="1" t="s">
        <v>1</v>
      </c>
      <c r="C3" s="19" t="s">
        <v>2</v>
      </c>
      <c r="D3" s="19"/>
      <c r="E3" s="19"/>
      <c r="F3" s="20" t="s">
        <v>3</v>
      </c>
      <c r="G3" s="20"/>
      <c r="H3" s="20"/>
      <c r="I3" s="20"/>
    </row>
    <row r="4" spans="2:9" ht="24" customHeight="1">
      <c r="B4" s="1" t="s">
        <v>4</v>
      </c>
      <c r="C4" s="19" t="s">
        <v>5</v>
      </c>
      <c r="D4" s="19"/>
      <c r="E4" s="19"/>
      <c r="F4" s="20"/>
      <c r="G4" s="20"/>
      <c r="H4" s="20"/>
      <c r="I4" s="20"/>
    </row>
    <row r="5" spans="2:9" ht="24" customHeight="1">
      <c r="B5" s="1" t="s">
        <v>6</v>
      </c>
      <c r="C5" s="19" t="s">
        <v>154</v>
      </c>
      <c r="D5" s="19"/>
      <c r="E5" s="19"/>
      <c r="F5" s="20"/>
      <c r="G5" s="20"/>
      <c r="H5" s="20"/>
      <c r="I5" s="20"/>
    </row>
    <row r="6" spans="2:9" ht="24" customHeight="1">
      <c r="B6" s="1" t="s">
        <v>7</v>
      </c>
      <c r="C6" s="21">
        <v>46318</v>
      </c>
      <c r="D6" s="19"/>
      <c r="E6" s="19"/>
      <c r="F6" s="20"/>
      <c r="G6" s="20"/>
      <c r="H6" s="20"/>
      <c r="I6" s="20"/>
    </row>
    <row r="7" spans="2:9" ht="18" customHeight="1">
      <c r="B7" s="22" t="s">
        <v>8</v>
      </c>
      <c r="C7" s="22"/>
      <c r="D7" s="22"/>
      <c r="E7" s="22"/>
      <c r="F7" s="22"/>
      <c r="G7" s="22"/>
      <c r="H7" s="22"/>
      <c r="I7" s="22"/>
    </row>
    <row r="8" spans="2:9" ht="24" customHeight="1"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2:9" ht="93.95" customHeight="1">
      <c r="B9" s="23" t="s">
        <v>17</v>
      </c>
      <c r="C9" s="3">
        <v>1</v>
      </c>
      <c r="D9" s="3" t="s">
        <v>18</v>
      </c>
      <c r="E9" s="2" t="s">
        <v>19</v>
      </c>
      <c r="F9" s="2" t="s">
        <v>20</v>
      </c>
      <c r="G9" s="16" t="s">
        <v>21</v>
      </c>
      <c r="H9" s="17" t="s">
        <v>22</v>
      </c>
      <c r="I9" s="17"/>
    </row>
    <row r="10" spans="2:9" ht="93.95" customHeight="1">
      <c r="B10" s="23"/>
      <c r="C10" s="3">
        <v>2</v>
      </c>
      <c r="D10" s="3" t="s">
        <v>23</v>
      </c>
      <c r="E10" s="2" t="s">
        <v>24</v>
      </c>
      <c r="F10" s="2" t="s">
        <v>25</v>
      </c>
      <c r="G10" s="16" t="s">
        <v>21</v>
      </c>
      <c r="H10" s="17" t="s">
        <v>26</v>
      </c>
      <c r="I10" s="17"/>
    </row>
    <row r="11" spans="2:9" ht="93.95" customHeight="1">
      <c r="B11" s="23" t="s">
        <v>27</v>
      </c>
      <c r="C11" s="3">
        <v>3</v>
      </c>
      <c r="D11" s="3" t="s">
        <v>28</v>
      </c>
      <c r="E11" s="2" t="s">
        <v>29</v>
      </c>
      <c r="F11" s="2" t="s">
        <v>30</v>
      </c>
      <c r="G11" s="16" t="s">
        <v>21</v>
      </c>
      <c r="H11" s="17" t="s">
        <v>31</v>
      </c>
      <c r="I11" s="17"/>
    </row>
    <row r="12" spans="2:9" ht="93.95" customHeight="1">
      <c r="B12" s="23"/>
      <c r="C12" s="3">
        <v>4</v>
      </c>
      <c r="D12" s="3" t="s">
        <v>32</v>
      </c>
      <c r="E12" s="2" t="s">
        <v>33</v>
      </c>
      <c r="F12" s="2" t="s">
        <v>34</v>
      </c>
      <c r="G12" s="16" t="s">
        <v>21</v>
      </c>
      <c r="H12" s="17" t="s">
        <v>35</v>
      </c>
      <c r="I12" s="17"/>
    </row>
    <row r="13" spans="2:9" ht="93.95" customHeight="1">
      <c r="B13" s="23"/>
      <c r="C13" s="3">
        <v>5</v>
      </c>
      <c r="D13" s="3" t="s">
        <v>36</v>
      </c>
      <c r="E13" s="2" t="s">
        <v>37</v>
      </c>
      <c r="F13" s="2" t="s">
        <v>38</v>
      </c>
      <c r="G13" s="16" t="s">
        <v>21</v>
      </c>
      <c r="H13" s="17" t="s">
        <v>39</v>
      </c>
      <c r="I13" s="17"/>
    </row>
    <row r="14" spans="2:9" ht="93.95" customHeight="1">
      <c r="B14" s="23" t="s">
        <v>40</v>
      </c>
      <c r="C14" s="3">
        <v>6</v>
      </c>
      <c r="D14" s="3" t="s">
        <v>41</v>
      </c>
      <c r="E14" s="2" t="s">
        <v>42</v>
      </c>
      <c r="F14" s="4" t="s">
        <v>43</v>
      </c>
      <c r="G14" s="16" t="s">
        <v>21</v>
      </c>
      <c r="H14" s="17" t="s">
        <v>44</v>
      </c>
      <c r="I14" s="17"/>
    </row>
    <row r="15" spans="2:9" ht="93.95" customHeight="1">
      <c r="B15" s="23"/>
      <c r="C15" s="3">
        <v>7</v>
      </c>
      <c r="D15" s="3" t="s">
        <v>45</v>
      </c>
      <c r="E15" s="4" t="s">
        <v>46</v>
      </c>
      <c r="F15" s="2" t="s">
        <v>47</v>
      </c>
      <c r="G15" s="16" t="s">
        <v>21</v>
      </c>
      <c r="H15" s="17" t="s">
        <v>48</v>
      </c>
      <c r="I15" s="17"/>
    </row>
    <row r="16" spans="2:9" ht="93.95" customHeight="1">
      <c r="B16" s="23"/>
      <c r="C16" s="3">
        <v>8</v>
      </c>
      <c r="D16" s="3" t="s">
        <v>49</v>
      </c>
      <c r="E16" s="2" t="s">
        <v>50</v>
      </c>
      <c r="F16" s="2" t="s">
        <v>51</v>
      </c>
      <c r="G16" s="16" t="s">
        <v>21</v>
      </c>
      <c r="H16" s="17" t="s">
        <v>52</v>
      </c>
      <c r="I16" s="17"/>
    </row>
    <row r="17" spans="2:9" ht="93.95" customHeight="1">
      <c r="B17" s="23"/>
      <c r="C17" s="3">
        <v>9</v>
      </c>
      <c r="D17" s="3" t="s">
        <v>53</v>
      </c>
      <c r="E17" s="2" t="s">
        <v>54</v>
      </c>
      <c r="F17" s="2" t="s">
        <v>55</v>
      </c>
      <c r="G17" s="16" t="s">
        <v>21</v>
      </c>
      <c r="H17" s="17" t="s">
        <v>56</v>
      </c>
      <c r="I17" s="17"/>
    </row>
    <row r="18" spans="2:9" ht="93.95" customHeight="1">
      <c r="B18" s="23" t="s">
        <v>57</v>
      </c>
      <c r="C18" s="3">
        <v>10</v>
      </c>
      <c r="D18" s="3" t="s">
        <v>58</v>
      </c>
      <c r="E18" s="2" t="s">
        <v>59</v>
      </c>
      <c r="F18" s="2" t="s">
        <v>60</v>
      </c>
      <c r="G18" s="16" t="s">
        <v>21</v>
      </c>
      <c r="H18" s="17" t="s">
        <v>26</v>
      </c>
      <c r="I18" s="17"/>
    </row>
    <row r="19" spans="2:9" ht="93.95" customHeight="1">
      <c r="B19" s="23"/>
      <c r="C19" s="3">
        <v>11</v>
      </c>
      <c r="D19" s="3" t="s">
        <v>61</v>
      </c>
      <c r="E19" s="2" t="s">
        <v>62</v>
      </c>
      <c r="F19" s="2" t="s">
        <v>63</v>
      </c>
      <c r="G19" s="16" t="s">
        <v>21</v>
      </c>
      <c r="H19" s="17" t="s">
        <v>64</v>
      </c>
      <c r="I19" s="17"/>
    </row>
    <row r="20" spans="2:9" ht="93.95" customHeight="1">
      <c r="B20" s="23"/>
      <c r="C20" s="3">
        <v>12</v>
      </c>
      <c r="D20" s="3" t="s">
        <v>65</v>
      </c>
      <c r="E20" s="2" t="s">
        <v>66</v>
      </c>
      <c r="F20" s="2" t="s">
        <v>67</v>
      </c>
      <c r="G20" s="16" t="s">
        <v>21</v>
      </c>
      <c r="H20" s="17" t="s">
        <v>68</v>
      </c>
      <c r="I20" s="17"/>
    </row>
    <row r="21" spans="2:9" ht="93.95" customHeight="1">
      <c r="B21" s="23"/>
      <c r="C21" s="3">
        <v>13</v>
      </c>
      <c r="D21" s="3" t="s">
        <v>69</v>
      </c>
      <c r="E21" s="2" t="s">
        <v>70</v>
      </c>
      <c r="F21" s="2" t="s">
        <v>71</v>
      </c>
      <c r="G21" s="16" t="s">
        <v>21</v>
      </c>
      <c r="H21" s="17" t="s">
        <v>72</v>
      </c>
      <c r="I21" s="17"/>
    </row>
    <row r="22" spans="2:9" ht="93.95" customHeight="1">
      <c r="B22" s="23"/>
      <c r="C22" s="3">
        <v>14</v>
      </c>
      <c r="D22" s="3" t="s">
        <v>69</v>
      </c>
      <c r="E22" s="4" t="s">
        <v>73</v>
      </c>
      <c r="F22" s="2" t="s">
        <v>74</v>
      </c>
      <c r="G22" s="16" t="s">
        <v>75</v>
      </c>
      <c r="H22" s="17"/>
      <c r="I22" s="17"/>
    </row>
    <row r="23" spans="2:9" ht="93.95" customHeight="1">
      <c r="B23" s="23" t="s">
        <v>76</v>
      </c>
      <c r="C23" s="3">
        <v>15</v>
      </c>
      <c r="D23" s="3" t="s">
        <v>77</v>
      </c>
      <c r="E23" s="2" t="s">
        <v>78</v>
      </c>
      <c r="F23" s="2" t="s">
        <v>79</v>
      </c>
      <c r="G23" s="16" t="s">
        <v>75</v>
      </c>
      <c r="H23" s="17"/>
      <c r="I23" s="17"/>
    </row>
    <row r="24" spans="2:9" ht="93.95" customHeight="1">
      <c r="B24" s="23"/>
      <c r="C24" s="3">
        <v>16</v>
      </c>
      <c r="D24" s="3" t="s">
        <v>80</v>
      </c>
      <c r="E24" s="2" t="s">
        <v>81</v>
      </c>
      <c r="F24" s="2" t="s">
        <v>82</v>
      </c>
      <c r="G24" s="16" t="s">
        <v>21</v>
      </c>
      <c r="H24" s="17" t="s">
        <v>84</v>
      </c>
      <c r="I24" s="17"/>
    </row>
    <row r="25" spans="2:9" ht="93.95" customHeight="1">
      <c r="B25" s="23"/>
      <c r="C25" s="3">
        <v>17</v>
      </c>
      <c r="D25" s="3" t="s">
        <v>85</v>
      </c>
      <c r="E25" s="2" t="s">
        <v>86</v>
      </c>
      <c r="F25" s="2" t="s">
        <v>87</v>
      </c>
      <c r="G25" s="16" t="s">
        <v>75</v>
      </c>
      <c r="H25" s="17"/>
      <c r="I25" s="17"/>
    </row>
    <row r="26" spans="2:9" ht="93.95" customHeight="1">
      <c r="B26" s="23"/>
      <c r="C26" s="3">
        <v>18</v>
      </c>
      <c r="D26" s="3" t="s">
        <v>85</v>
      </c>
      <c r="E26" s="2" t="s">
        <v>88</v>
      </c>
      <c r="F26" s="2" t="s">
        <v>89</v>
      </c>
      <c r="G26" s="16" t="s">
        <v>75</v>
      </c>
      <c r="H26" s="17"/>
      <c r="I26" s="17"/>
    </row>
    <row r="27" spans="2:9" ht="93.95" customHeight="1">
      <c r="B27" s="23"/>
      <c r="C27" s="3">
        <v>19</v>
      </c>
      <c r="D27" s="3" t="s">
        <v>90</v>
      </c>
      <c r="E27" s="2" t="s">
        <v>91</v>
      </c>
      <c r="F27" s="2" t="s">
        <v>92</v>
      </c>
      <c r="G27" s="16" t="s">
        <v>21</v>
      </c>
      <c r="H27" s="17" t="s">
        <v>93</v>
      </c>
      <c r="I27" s="17"/>
    </row>
    <row r="28" spans="2:9" ht="93.95" customHeight="1">
      <c r="B28" s="23" t="s">
        <v>94</v>
      </c>
      <c r="C28" s="3">
        <v>20</v>
      </c>
      <c r="D28" s="3" t="s">
        <v>95</v>
      </c>
      <c r="E28" s="2" t="s">
        <v>96</v>
      </c>
      <c r="F28" s="2" t="s">
        <v>97</v>
      </c>
      <c r="G28" s="16" t="s">
        <v>21</v>
      </c>
      <c r="H28" s="17" t="s">
        <v>152</v>
      </c>
      <c r="I28" s="17"/>
    </row>
    <row r="29" spans="2:9" ht="93.95" customHeight="1">
      <c r="B29" s="23"/>
      <c r="C29" s="3">
        <v>21</v>
      </c>
      <c r="D29" s="3" t="s">
        <v>98</v>
      </c>
      <c r="E29" s="2" t="s">
        <v>99</v>
      </c>
      <c r="F29" s="2" t="s">
        <v>100</v>
      </c>
      <c r="G29" s="16" t="s">
        <v>21</v>
      </c>
      <c r="H29" s="17" t="s">
        <v>153</v>
      </c>
      <c r="I29" s="17"/>
    </row>
    <row r="30" spans="2:9" ht="93.95" customHeight="1">
      <c r="B30" s="23"/>
      <c r="C30" s="3">
        <v>22</v>
      </c>
      <c r="D30" s="3" t="s">
        <v>101</v>
      </c>
      <c r="E30" s="2" t="s">
        <v>102</v>
      </c>
      <c r="F30" s="2" t="s">
        <v>103</v>
      </c>
      <c r="G30" s="16" t="s">
        <v>21</v>
      </c>
      <c r="H30" s="17" t="s">
        <v>104</v>
      </c>
      <c r="I30" s="17"/>
    </row>
    <row r="31" spans="2:9" ht="93.95" customHeight="1">
      <c r="B31" s="23"/>
      <c r="C31" s="3">
        <v>23</v>
      </c>
      <c r="D31" s="3" t="s">
        <v>105</v>
      </c>
      <c r="E31" s="2" t="s">
        <v>106</v>
      </c>
      <c r="F31" s="2" t="s">
        <v>107</v>
      </c>
      <c r="G31" s="16" t="s">
        <v>21</v>
      </c>
      <c r="H31" s="17" t="s">
        <v>108</v>
      </c>
      <c r="I31" s="17"/>
    </row>
    <row r="32" spans="2:9" ht="93.95" customHeight="1">
      <c r="B32" s="23"/>
      <c r="C32" s="3">
        <v>24</v>
      </c>
      <c r="D32" s="3" t="s">
        <v>109</v>
      </c>
      <c r="E32" s="2" t="s">
        <v>110</v>
      </c>
      <c r="F32" s="4" t="s">
        <v>111</v>
      </c>
      <c r="G32" s="16" t="s">
        <v>21</v>
      </c>
      <c r="H32" s="17" t="s">
        <v>112</v>
      </c>
      <c r="I32" s="17"/>
    </row>
    <row r="33" spans="2:9" ht="93.95" customHeight="1">
      <c r="B33" s="23" t="s">
        <v>113</v>
      </c>
      <c r="C33" s="3">
        <v>25</v>
      </c>
      <c r="D33" s="5" t="s">
        <v>114</v>
      </c>
      <c r="E33" s="2" t="s">
        <v>115</v>
      </c>
      <c r="F33" s="2" t="s">
        <v>116</v>
      </c>
      <c r="G33" s="16" t="s">
        <v>21</v>
      </c>
      <c r="H33" s="17"/>
      <c r="I33" s="17"/>
    </row>
    <row r="34" spans="2:9" ht="93.95" customHeight="1">
      <c r="B34" s="23"/>
      <c r="C34" s="3">
        <v>26</v>
      </c>
      <c r="D34" s="5" t="s">
        <v>114</v>
      </c>
      <c r="E34" s="2" t="s">
        <v>117</v>
      </c>
      <c r="F34" s="2" t="s">
        <v>118</v>
      </c>
      <c r="G34" s="16" t="s">
        <v>21</v>
      </c>
      <c r="H34" s="17" t="s">
        <v>119</v>
      </c>
      <c r="I34" s="17"/>
    </row>
    <row r="35" spans="2:9" ht="93.95" customHeight="1">
      <c r="B35" s="23"/>
      <c r="C35" s="3">
        <v>27</v>
      </c>
      <c r="D35" s="5" t="s">
        <v>114</v>
      </c>
      <c r="E35" s="2" t="s">
        <v>120</v>
      </c>
      <c r="F35" s="2" t="s">
        <v>89</v>
      </c>
      <c r="G35" s="16" t="s">
        <v>21</v>
      </c>
      <c r="H35" s="17" t="s">
        <v>121</v>
      </c>
      <c r="I35" s="17"/>
    </row>
    <row r="37" spans="2:9" ht="19.5" customHeight="1">
      <c r="B37" s="24" t="s">
        <v>122</v>
      </c>
      <c r="C37" s="25" t="s">
        <v>21</v>
      </c>
      <c r="D37" s="25"/>
      <c r="E37" s="25"/>
      <c r="F37" s="7">
        <f>COUNTIF($G$9:$G$35,"통과")</f>
        <v>23</v>
      </c>
      <c r="G37" s="20" t="s">
        <v>123</v>
      </c>
      <c r="H37" s="20"/>
      <c r="I37" s="20"/>
    </row>
    <row r="38" spans="2:9" ht="19.5" customHeight="1">
      <c r="B38" s="24"/>
      <c r="C38" s="25" t="s">
        <v>124</v>
      </c>
      <c r="D38" s="25"/>
      <c r="E38" s="25"/>
      <c r="F38" s="7">
        <f>COUNTIF($G$9:$G$35,"실패")</f>
        <v>0</v>
      </c>
      <c r="G38" s="20"/>
      <c r="H38" s="20"/>
      <c r="I38" s="20"/>
    </row>
    <row r="39" spans="2:9" ht="19.5" customHeight="1">
      <c r="B39" s="24"/>
      <c r="C39" s="25" t="s">
        <v>83</v>
      </c>
      <c r="D39" s="25"/>
      <c r="E39" s="25"/>
      <c r="F39" s="7">
        <f>COUNTIF($G$9:$G$35,"미확인")</f>
        <v>0</v>
      </c>
      <c r="G39" s="20"/>
      <c r="H39" s="20"/>
      <c r="I39" s="20"/>
    </row>
    <row r="40" spans="2:9" ht="19.5" customHeight="1">
      <c r="B40" s="24"/>
      <c r="C40" s="25" t="s">
        <v>75</v>
      </c>
      <c r="D40" s="25"/>
      <c r="E40" s="25"/>
      <c r="F40" s="7">
        <f>COUNTIF($G$9:$G$35,"해당없음")</f>
        <v>4</v>
      </c>
      <c r="G40" s="20"/>
      <c r="H40" s="20"/>
      <c r="I40" s="20"/>
    </row>
    <row r="41" spans="2:9" ht="19.5" customHeight="1">
      <c r="B41" s="24"/>
      <c r="C41" s="25" t="s">
        <v>125</v>
      </c>
      <c r="D41" s="25"/>
      <c r="E41" s="25"/>
      <c r="F41" s="7">
        <f>COUNTA($E$9:$E$35)-COUNTA($G$9:$G$35)</f>
        <v>0</v>
      </c>
      <c r="G41" s="20"/>
      <c r="H41" s="20"/>
      <c r="I41" s="20"/>
    </row>
    <row r="42" spans="2:9" ht="19.5" customHeight="1">
      <c r="B42" s="24"/>
      <c r="C42" s="25" t="s">
        <v>126</v>
      </c>
      <c r="D42" s="25"/>
      <c r="E42" s="25"/>
      <c r="F42" s="7">
        <f>COUNTA($E$9:$E$35)</f>
        <v>27</v>
      </c>
      <c r="G42" s="20"/>
      <c r="H42" s="20"/>
      <c r="I42" s="20"/>
    </row>
    <row r="43" spans="2:9" ht="7.5" customHeight="1"/>
    <row r="44" spans="2:9" ht="21.75" customHeight="1">
      <c r="B44" s="26" t="s">
        <v>127</v>
      </c>
      <c r="C44" s="26"/>
      <c r="D44" s="26"/>
      <c r="E44" s="26"/>
      <c r="F44" s="26"/>
      <c r="G44" s="26"/>
      <c r="H44" s="26"/>
      <c r="I44" s="26"/>
    </row>
    <row r="45" spans="2:9" ht="42" customHeight="1">
      <c r="B45" s="6" t="s">
        <v>128</v>
      </c>
      <c r="C45" s="19" t="s">
        <v>155</v>
      </c>
      <c r="D45" s="27"/>
      <c r="E45" s="27"/>
      <c r="F45" s="27"/>
      <c r="G45" s="27"/>
      <c r="H45" s="27"/>
      <c r="I45" s="27"/>
    </row>
    <row r="46" spans="2:9" ht="42" customHeight="1">
      <c r="B46" s="6" t="s">
        <v>129</v>
      </c>
      <c r="C46" s="19" t="s">
        <v>156</v>
      </c>
      <c r="D46" s="27"/>
      <c r="E46" s="27"/>
      <c r="F46" s="27"/>
      <c r="G46" s="27"/>
      <c r="H46" s="27"/>
      <c r="I46" s="27"/>
    </row>
  </sheetData>
  <mergeCells count="25">
    <mergeCell ref="B44:I44"/>
    <mergeCell ref="C45:I45"/>
    <mergeCell ref="C46:I46"/>
    <mergeCell ref="G37:I42"/>
    <mergeCell ref="C38:E38"/>
    <mergeCell ref="C39:E39"/>
    <mergeCell ref="C40:E40"/>
    <mergeCell ref="C41:E41"/>
    <mergeCell ref="C42:E42"/>
    <mergeCell ref="B23:B27"/>
    <mergeCell ref="B28:B32"/>
    <mergeCell ref="B33:B35"/>
    <mergeCell ref="B37:B42"/>
    <mergeCell ref="C37:E37"/>
    <mergeCell ref="B7:I7"/>
    <mergeCell ref="B9:B10"/>
    <mergeCell ref="B11:B13"/>
    <mergeCell ref="B14:B17"/>
    <mergeCell ref="B18:B22"/>
    <mergeCell ref="B2:I2"/>
    <mergeCell ref="C3:E3"/>
    <mergeCell ref="F3:I6"/>
    <mergeCell ref="C4:E4"/>
    <mergeCell ref="C5:E5"/>
    <mergeCell ref="C6:E6"/>
  </mergeCells>
  <phoneticPr fontId="22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17"/>
  <sheetViews>
    <sheetView showGridLines="0" workbookViewId="0"/>
  </sheetViews>
  <sheetFormatPr defaultColWidth="8.5" defaultRowHeight="16.5"/>
  <cols>
    <col min="1" max="1" width="3" customWidth="1"/>
    <col min="2" max="2" width="16" customWidth="1"/>
    <col min="3" max="3" width="6" customWidth="1"/>
    <col min="4" max="4" width="14" customWidth="1"/>
    <col min="5" max="5" width="46" customWidth="1"/>
    <col min="6" max="6" width="12" customWidth="1"/>
    <col min="7" max="7" width="26" customWidth="1"/>
    <col min="8" max="8" width="40" customWidth="1"/>
  </cols>
  <sheetData>
    <row r="2" spans="2:8" ht="30" customHeight="1">
      <c r="B2" s="31" t="s">
        <v>130</v>
      </c>
      <c r="C2" s="31"/>
      <c r="D2" s="31"/>
      <c r="E2" s="31"/>
      <c r="F2" s="31"/>
      <c r="G2" s="31"/>
      <c r="H2" s="31"/>
    </row>
    <row r="4" spans="2:8" ht="45.75" customHeight="1">
      <c r="B4" s="8" t="s">
        <v>131</v>
      </c>
      <c r="C4" s="28" t="s">
        <v>132</v>
      </c>
      <c r="D4" s="28"/>
      <c r="E4" s="28"/>
      <c r="F4" s="28"/>
      <c r="G4" s="28"/>
      <c r="H4" s="28"/>
    </row>
    <row r="5" spans="2:8" ht="45.75" customHeight="1">
      <c r="B5" s="8" t="s">
        <v>133</v>
      </c>
      <c r="C5" s="28" t="s">
        <v>134</v>
      </c>
      <c r="D5" s="28"/>
      <c r="E5" s="28"/>
      <c r="F5" s="28"/>
      <c r="G5" s="28"/>
      <c r="H5" s="28"/>
    </row>
    <row r="6" spans="2:8" ht="81.75" customHeight="1">
      <c r="B6" s="8" t="s">
        <v>14</v>
      </c>
      <c r="C6" s="28" t="s">
        <v>135</v>
      </c>
      <c r="D6" s="28"/>
      <c r="E6" s="28"/>
      <c r="F6" s="28"/>
      <c r="G6" s="28"/>
      <c r="H6" s="28"/>
    </row>
    <row r="7" spans="2:8" ht="45.75" customHeight="1">
      <c r="B7" s="8" t="s">
        <v>136</v>
      </c>
      <c r="C7" s="28" t="s">
        <v>137</v>
      </c>
      <c r="D7" s="28"/>
      <c r="E7" s="28"/>
      <c r="F7" s="28"/>
      <c r="G7" s="28"/>
      <c r="H7" s="28"/>
    </row>
    <row r="8" spans="2:8" ht="27.75" customHeight="1">
      <c r="B8" s="8" t="s">
        <v>122</v>
      </c>
      <c r="C8" s="28" t="s">
        <v>138</v>
      </c>
      <c r="D8" s="28"/>
      <c r="E8" s="28"/>
      <c r="F8" s="28"/>
      <c r="G8" s="28"/>
      <c r="H8" s="28"/>
    </row>
    <row r="9" spans="2:8" ht="45.75" customHeight="1">
      <c r="B9" s="8" t="s">
        <v>139</v>
      </c>
      <c r="C9" s="28" t="s">
        <v>140</v>
      </c>
      <c r="D9" s="28"/>
      <c r="E9" s="28"/>
      <c r="F9" s="28"/>
      <c r="G9" s="28"/>
      <c r="H9" s="28"/>
    </row>
    <row r="10" spans="2:8" ht="27.75" customHeight="1">
      <c r="B10" s="8" t="s">
        <v>141</v>
      </c>
      <c r="C10" s="29" t="s">
        <v>142</v>
      </c>
      <c r="D10" s="29"/>
      <c r="E10" s="29"/>
      <c r="F10" s="29"/>
      <c r="G10" s="29"/>
      <c r="H10" s="29"/>
    </row>
    <row r="12" spans="2:8" ht="15" customHeight="1">
      <c r="B12" s="30" t="s">
        <v>143</v>
      </c>
      <c r="C12" s="30"/>
      <c r="D12" s="30"/>
      <c r="E12" s="30"/>
      <c r="F12" s="30"/>
      <c r="G12" s="30"/>
      <c r="H12" s="30"/>
    </row>
    <row r="13" spans="2:8">
      <c r="B13" s="9" t="s">
        <v>9</v>
      </c>
      <c r="C13" s="9" t="s">
        <v>10</v>
      </c>
      <c r="D13" s="9" t="s">
        <v>11</v>
      </c>
      <c r="E13" s="9" t="s">
        <v>12</v>
      </c>
      <c r="F13" s="9" t="s">
        <v>14</v>
      </c>
      <c r="G13" s="9" t="s">
        <v>144</v>
      </c>
      <c r="H13" s="9" t="s">
        <v>145</v>
      </c>
    </row>
    <row r="14" spans="2:8" ht="45.75" customHeight="1">
      <c r="B14" s="2" t="s">
        <v>27</v>
      </c>
      <c r="C14" s="10">
        <v>4</v>
      </c>
      <c r="D14" s="11" t="s">
        <v>32</v>
      </c>
      <c r="E14" s="2" t="s">
        <v>33</v>
      </c>
      <c r="F14" s="12" t="s">
        <v>21</v>
      </c>
      <c r="G14" s="11" t="s">
        <v>146</v>
      </c>
      <c r="H14" s="2"/>
    </row>
    <row r="15" spans="2:8" ht="45.75" customHeight="1">
      <c r="B15" s="2" t="s">
        <v>40</v>
      </c>
      <c r="C15" s="10">
        <v>9</v>
      </c>
      <c r="D15" s="11" t="s">
        <v>53</v>
      </c>
      <c r="E15" s="2" t="s">
        <v>54</v>
      </c>
      <c r="F15" s="13" t="s">
        <v>124</v>
      </c>
      <c r="G15" s="11" t="s">
        <v>147</v>
      </c>
      <c r="H15" s="2" t="s">
        <v>148</v>
      </c>
    </row>
    <row r="16" spans="2:8" ht="45.75" customHeight="1">
      <c r="B16" s="2" t="s">
        <v>149</v>
      </c>
      <c r="C16" s="10">
        <v>16</v>
      </c>
      <c r="D16" s="11" t="s">
        <v>80</v>
      </c>
      <c r="E16" s="2" t="s">
        <v>81</v>
      </c>
      <c r="F16" s="14" t="s">
        <v>75</v>
      </c>
      <c r="G16" s="2"/>
      <c r="H16" s="11" t="s">
        <v>150</v>
      </c>
    </row>
    <row r="17" spans="2:8" ht="45.75" customHeight="1">
      <c r="B17" s="2" t="s">
        <v>94</v>
      </c>
      <c r="C17" s="10">
        <v>20</v>
      </c>
      <c r="D17" s="11" t="s">
        <v>95</v>
      </c>
      <c r="E17" s="2" t="s">
        <v>96</v>
      </c>
      <c r="F17" s="15" t="s">
        <v>83</v>
      </c>
      <c r="G17" s="2"/>
      <c r="H17" s="11" t="s">
        <v>151</v>
      </c>
    </row>
  </sheetData>
  <mergeCells count="9">
    <mergeCell ref="C8:H8"/>
    <mergeCell ref="C9:H9"/>
    <mergeCell ref="C10:H10"/>
    <mergeCell ref="B12:H12"/>
    <mergeCell ref="B2:H2"/>
    <mergeCell ref="C4:H4"/>
    <mergeCell ref="C5:H5"/>
    <mergeCell ref="C6:H6"/>
    <mergeCell ref="C7:H7"/>
  </mergeCells>
  <phoneticPr fontId="22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2026-10-23T00:47:00Z</dcterms:modified>
</cp:coreProperties>
</file>